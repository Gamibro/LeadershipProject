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E_Downloads\Leader-ship\Leader-ship\frontend\public\"/>
    </mc:Choice>
  </mc:AlternateContent>
  <xr:revisionPtr revIDLastSave="0" documentId="13_ncr:1_{BCCFFDC5-7561-4005-8D66-C08DEB76B0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J6" i="1"/>
  <c r="H12" i="1"/>
  <c r="H8" i="1"/>
  <c r="F6" i="1" l="1"/>
  <c r="G13" i="1"/>
  <c r="E13" i="1"/>
  <c r="D13" i="1"/>
  <c r="C13" i="1"/>
  <c r="L12" i="1"/>
  <c r="K12" i="1"/>
  <c r="J12" i="1"/>
  <c r="F12" i="1"/>
  <c r="L11" i="1"/>
  <c r="K11" i="1"/>
  <c r="H11" i="1"/>
  <c r="J11" i="1" s="1"/>
  <c r="O11" i="1" s="1"/>
  <c r="F11" i="1"/>
  <c r="L10" i="1"/>
  <c r="K10" i="1"/>
  <c r="J10" i="1"/>
  <c r="L9" i="1"/>
  <c r="K9" i="1"/>
  <c r="J9" i="1"/>
  <c r="O9" i="1" s="1"/>
  <c r="L8" i="1"/>
  <c r="K8" i="1"/>
  <c r="J8" i="1"/>
  <c r="F8" i="1"/>
  <c r="L7" i="1"/>
  <c r="K7" i="1"/>
  <c r="J7" i="1"/>
  <c r="L6" i="1"/>
  <c r="K6" i="1"/>
  <c r="O6" i="1" s="1"/>
  <c r="O12" i="1" l="1"/>
  <c r="P12" i="1" s="1"/>
  <c r="P6" i="1"/>
  <c r="O7" i="1"/>
  <c r="P7" i="1" s="1"/>
  <c r="O8" i="1"/>
  <c r="O10" i="1"/>
  <c r="P10" i="1"/>
  <c r="P11" i="1"/>
  <c r="Q9" i="1" l="1"/>
  <c r="Q6" i="1"/>
  <c r="Q7" i="1"/>
  <c r="P8" i="1"/>
  <c r="Q8" i="1"/>
  <c r="Q11" i="1"/>
  <c r="P9" i="1"/>
  <c r="Q10" i="1"/>
  <c r="Q12" i="1"/>
</calcChain>
</file>

<file path=xl/sharedStrings.xml><?xml version="1.0" encoding="utf-8"?>
<sst xmlns="http://schemas.openxmlformats.org/spreadsheetml/2006/main" count="85" uniqueCount="58">
  <si>
    <t>Leader Board Marks</t>
  </si>
  <si>
    <t>Weightage</t>
  </si>
  <si>
    <t>Leader Board Span=220cm</t>
  </si>
  <si>
    <t>Resolution =2.2cm</t>
  </si>
  <si>
    <t>Department/Devision</t>
  </si>
  <si>
    <t>No of Allocation</t>
  </si>
  <si>
    <t>No of Participants</t>
  </si>
  <si>
    <t>No of Submissions</t>
  </si>
  <si>
    <t>Total Marks of Submitted Projects</t>
  </si>
  <si>
    <t xml:space="preserve">No of Completed </t>
  </si>
  <si>
    <t>Total Marks of Completed Projects</t>
  </si>
  <si>
    <t>Completed Project Points (Average)</t>
  </si>
  <si>
    <t>Submission Ratio</t>
  </si>
  <si>
    <t>Participation Ratio</t>
  </si>
  <si>
    <t>Leader Board Mark in cm</t>
  </si>
  <si>
    <t xml:space="preserve">Rank </t>
  </si>
  <si>
    <t>DBU</t>
  </si>
  <si>
    <t>DFI</t>
  </si>
  <si>
    <t>DHA</t>
  </si>
  <si>
    <t>DMD</t>
  </si>
  <si>
    <t>DMP</t>
  </si>
  <si>
    <t>DPR</t>
  </si>
  <si>
    <t>DYA</t>
  </si>
  <si>
    <t xml:space="preserve">DBU </t>
  </si>
  <si>
    <t>Project No</t>
  </si>
  <si>
    <t>Project</t>
  </si>
  <si>
    <t>WB-047</t>
  </si>
  <si>
    <t>Develop a Vacuum Cleaner</t>
  </si>
  <si>
    <t>WB-048</t>
  </si>
  <si>
    <t>Develop a Divider</t>
  </si>
  <si>
    <t>WB-049</t>
  </si>
  <si>
    <t xml:space="preserve">Eliminated the need for additional third party crane rental by deploying an in-house 160 T capacity crane execute the assembly operations. </t>
  </si>
  <si>
    <t>WB-050</t>
  </si>
  <si>
    <t>Ordering Stationery Quarterly</t>
  </si>
  <si>
    <t>WB-051</t>
  </si>
  <si>
    <t>Reducing Paper Usage in Drydock Quotations Process</t>
  </si>
  <si>
    <t>WB-053</t>
  </si>
  <si>
    <t>Label System for identify the vehicle owners contact</t>
  </si>
  <si>
    <t>WB-054</t>
  </si>
  <si>
    <t>Create an excel file for standardize attendance of sub contracts</t>
  </si>
  <si>
    <t>WB-055</t>
  </si>
  <si>
    <t>Build vacuum testing boxes</t>
  </si>
  <si>
    <t>WB-057</t>
  </si>
  <si>
    <t>Kerosene Bath</t>
  </si>
  <si>
    <t>WB-058</t>
  </si>
  <si>
    <t xml:space="preserve">Bulb Holder for sandblasting </t>
  </si>
  <si>
    <t>WB-060</t>
  </si>
  <si>
    <t xml:space="preserve">Long Range Wireless Fire Alarm Indicator Receiver </t>
  </si>
  <si>
    <t>WB-061</t>
  </si>
  <si>
    <t>Hydraulic Bench Press - 10 T</t>
  </si>
  <si>
    <t>WB-062</t>
  </si>
  <si>
    <t>Reduce gas user end hole from 7mm to 1 mm</t>
  </si>
  <si>
    <t>WB-052</t>
  </si>
  <si>
    <t>Reusable Floor Protection Solution</t>
  </si>
  <si>
    <t>WB-056</t>
  </si>
  <si>
    <t>Unit testing before the unit construction</t>
  </si>
  <si>
    <t>WB-059</t>
  </si>
  <si>
    <t xml:space="preserve">Reduce Water battle consumption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</si>
</sst>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4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zoomScale="115" zoomScaleNormal="115" workbookViewId="0">
      <selection activeCell="H6" sqref="H6"/>
    </sheetView>
  </sheetViews>
  <sheetFormatPr defaultRowHeight="15" x14ac:dyDescent="0.25"/>
  <cols>
    <col min="2" max="2" width="10.28515625" bestFit="1" customWidth="1"/>
  </cols>
  <sheetData>
    <row r="1" spans="2:17" x14ac:dyDescent="0.25">
      <c r="D1" s="1"/>
      <c r="E1" s="1"/>
      <c r="F1" s="1"/>
      <c r="G1" s="1"/>
      <c r="H1" s="1"/>
      <c r="Q1" s="1"/>
    </row>
    <row r="2" spans="2:17" x14ac:dyDescent="0.25">
      <c r="B2" s="22" t="s">
        <v>0</v>
      </c>
      <c r="C2" s="22"/>
      <c r="D2" s="22"/>
      <c r="E2" s="22"/>
      <c r="F2" s="22"/>
      <c r="G2" s="22"/>
      <c r="H2" s="22"/>
      <c r="J2" s="23" t="s">
        <v>1</v>
      </c>
      <c r="K2" s="23"/>
      <c r="L2" s="23"/>
      <c r="P2" t="s">
        <v>2</v>
      </c>
      <c r="Q2" s="1"/>
    </row>
    <row r="3" spans="2:17" x14ac:dyDescent="0.25">
      <c r="B3" s="22"/>
      <c r="C3" s="22"/>
      <c r="D3" s="22"/>
      <c r="E3" s="22"/>
      <c r="F3" s="22"/>
      <c r="G3" s="22"/>
      <c r="H3" s="22"/>
      <c r="J3" s="2">
        <v>60</v>
      </c>
      <c r="K3" s="2">
        <v>20</v>
      </c>
      <c r="L3" s="2">
        <v>20</v>
      </c>
      <c r="P3" t="s">
        <v>3</v>
      </c>
      <c r="Q3" s="1"/>
    </row>
    <row r="4" spans="2:17" x14ac:dyDescent="0.25">
      <c r="D4" s="1"/>
      <c r="E4" s="1"/>
      <c r="F4" s="1"/>
      <c r="G4" s="1"/>
      <c r="H4" s="1"/>
      <c r="Q4" s="1"/>
    </row>
    <row r="5" spans="2:17" ht="90" x14ac:dyDescent="0.25"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5"/>
      <c r="J5" s="4" t="s">
        <v>11</v>
      </c>
      <c r="K5" s="4" t="s">
        <v>12</v>
      </c>
      <c r="L5" s="4" t="s">
        <v>13</v>
      </c>
      <c r="N5" s="3" t="s">
        <v>4</v>
      </c>
      <c r="O5" s="6" t="s">
        <v>0</v>
      </c>
      <c r="P5" s="7" t="s">
        <v>14</v>
      </c>
      <c r="Q5" s="8" t="s">
        <v>15</v>
      </c>
    </row>
    <row r="6" spans="2:17" x14ac:dyDescent="0.25">
      <c r="B6" s="2" t="s">
        <v>16</v>
      </c>
      <c r="C6" s="9">
        <v>45</v>
      </c>
      <c r="D6" s="9">
        <v>36</v>
      </c>
      <c r="E6" s="2">
        <v>10</v>
      </c>
      <c r="F6" s="2">
        <f>63+70</f>
        <v>133</v>
      </c>
      <c r="G6" s="2">
        <v>2</v>
      </c>
      <c r="H6" s="2">
        <f>65+70</f>
        <v>135</v>
      </c>
      <c r="I6" s="1"/>
      <c r="J6" s="10">
        <f>IFERROR(H6/G6*100/150,0)</f>
        <v>45</v>
      </c>
      <c r="K6" s="10">
        <f>IFERROR(E6/D6*100,0)</f>
        <v>27.777777777777779</v>
      </c>
      <c r="L6" s="10">
        <f>IFERROR(D6/C6*100,0)</f>
        <v>80</v>
      </c>
      <c r="N6" s="2" t="s">
        <v>16</v>
      </c>
      <c r="O6" s="11">
        <f>(J6*$J$3+K6*$K$3+L6*$L$3)/(SUM($J$3:$L$3))</f>
        <v>48.555555555555557</v>
      </c>
      <c r="P6" s="12">
        <f>O6*2.2</f>
        <v>106.82222222222224</v>
      </c>
      <c r="Q6" s="2">
        <f t="shared" ref="Q6:Q12" si="0">RANK(O6,O$6:O$12)</f>
        <v>3</v>
      </c>
    </row>
    <row r="7" spans="2:17" x14ac:dyDescent="0.25">
      <c r="B7" s="2" t="s">
        <v>17</v>
      </c>
      <c r="C7" s="9">
        <v>10</v>
      </c>
      <c r="D7" s="9">
        <v>3</v>
      </c>
      <c r="E7" s="2">
        <v>0</v>
      </c>
      <c r="F7" s="2">
        <v>0</v>
      </c>
      <c r="G7" s="2">
        <v>0</v>
      </c>
      <c r="H7" s="2">
        <v>107</v>
      </c>
      <c r="I7" s="1"/>
      <c r="J7" s="10">
        <f t="shared" ref="J7:J12" si="1">IFERROR(H7/G7*100/150,0)</f>
        <v>0</v>
      </c>
      <c r="K7" s="10">
        <f t="shared" ref="K7:K12" si="2">IFERROR(E7/D7*100,0)</f>
        <v>0</v>
      </c>
      <c r="L7" s="10">
        <f t="shared" ref="L7:L12" si="3">IFERROR(D7/C7*100,0)</f>
        <v>30</v>
      </c>
      <c r="N7" s="2" t="s">
        <v>17</v>
      </c>
      <c r="O7" s="11">
        <f>(J7*$J$3+K7*$K$3+L7*$L$3)/(SUM($J$3:$L$3))</f>
        <v>6</v>
      </c>
      <c r="P7" s="12">
        <f t="shared" ref="P7:P12" si="4">O7*2.2</f>
        <v>13.200000000000001</v>
      </c>
      <c r="Q7" s="2">
        <f t="shared" si="0"/>
        <v>7</v>
      </c>
    </row>
    <row r="8" spans="2:17" x14ac:dyDescent="0.25">
      <c r="B8" s="2" t="s">
        <v>18</v>
      </c>
      <c r="C8" s="9">
        <v>52</v>
      </c>
      <c r="D8" s="9">
        <v>23</v>
      </c>
      <c r="E8" s="2">
        <v>2</v>
      </c>
      <c r="F8" s="2">
        <f>107+75</f>
        <v>182</v>
      </c>
      <c r="G8" s="2">
        <v>1</v>
      </c>
      <c r="H8" s="2">
        <f>107</f>
        <v>107</v>
      </c>
      <c r="J8" s="10">
        <f t="shared" si="1"/>
        <v>71.333333333333329</v>
      </c>
      <c r="K8" s="10">
        <f t="shared" si="2"/>
        <v>8.695652173913043</v>
      </c>
      <c r="L8" s="10">
        <f t="shared" si="3"/>
        <v>44.230769230769226</v>
      </c>
      <c r="N8" s="2" t="s">
        <v>18</v>
      </c>
      <c r="O8" s="11">
        <f t="shared" ref="O8:O12" si="5">(J8*$J$3+K8*$K$3+L8*$L$3)/(SUM($J$3:$L$3))</f>
        <v>53.38528428093646</v>
      </c>
      <c r="P8" s="12">
        <f t="shared" si="4"/>
        <v>117.44762541806023</v>
      </c>
      <c r="Q8" s="2">
        <f t="shared" si="0"/>
        <v>1</v>
      </c>
    </row>
    <row r="9" spans="2:17" x14ac:dyDescent="0.25">
      <c r="B9" s="2" t="s">
        <v>19</v>
      </c>
      <c r="C9" s="9">
        <v>45</v>
      </c>
      <c r="D9" s="9">
        <v>34</v>
      </c>
      <c r="E9" s="2">
        <v>2</v>
      </c>
      <c r="F9" s="2">
        <v>120</v>
      </c>
      <c r="G9" s="2">
        <v>1</v>
      </c>
      <c r="H9" s="2">
        <v>20</v>
      </c>
      <c r="J9" s="10">
        <f t="shared" si="1"/>
        <v>13.333333333333334</v>
      </c>
      <c r="K9" s="10">
        <f t="shared" si="2"/>
        <v>5.8823529411764701</v>
      </c>
      <c r="L9" s="10">
        <f t="shared" si="3"/>
        <v>75.555555555555557</v>
      </c>
      <c r="N9" s="2" t="s">
        <v>19</v>
      </c>
      <c r="O9" s="11">
        <f>(J9*$J$3+K9*$K$3+L9*$L$3)/(SUM($J$3:$L$3))</f>
        <v>24.287581699346404</v>
      </c>
      <c r="P9" s="12">
        <f t="shared" si="4"/>
        <v>53.432679738562094</v>
      </c>
      <c r="Q9" s="2">
        <f t="shared" si="0"/>
        <v>5</v>
      </c>
    </row>
    <row r="10" spans="2:17" x14ac:dyDescent="0.25">
      <c r="B10" s="2" t="s">
        <v>20</v>
      </c>
      <c r="C10" s="9">
        <v>22</v>
      </c>
      <c r="D10" s="9">
        <v>20</v>
      </c>
      <c r="E10" s="2">
        <v>0</v>
      </c>
      <c r="F10" s="2">
        <v>0</v>
      </c>
      <c r="G10" s="2">
        <v>0</v>
      </c>
      <c r="H10" s="2">
        <v>0</v>
      </c>
      <c r="J10" s="10">
        <f t="shared" si="1"/>
        <v>0</v>
      </c>
      <c r="K10" s="10">
        <f t="shared" si="2"/>
        <v>0</v>
      </c>
      <c r="L10" s="10">
        <f t="shared" si="3"/>
        <v>90.909090909090907</v>
      </c>
      <c r="N10" s="2" t="s">
        <v>20</v>
      </c>
      <c r="O10" s="11">
        <f t="shared" si="5"/>
        <v>18.18181818181818</v>
      </c>
      <c r="P10" s="12">
        <f t="shared" si="4"/>
        <v>40</v>
      </c>
      <c r="Q10" s="2">
        <f t="shared" si="0"/>
        <v>6</v>
      </c>
    </row>
    <row r="11" spans="2:17" x14ac:dyDescent="0.25">
      <c r="B11" s="2" t="s">
        <v>21</v>
      </c>
      <c r="C11" s="9">
        <v>371</v>
      </c>
      <c r="D11" s="9">
        <v>230</v>
      </c>
      <c r="E11" s="2">
        <v>7</v>
      </c>
      <c r="F11" s="2">
        <f>111+93+90+89+90+0+83</f>
        <v>556</v>
      </c>
      <c r="G11" s="2">
        <v>7</v>
      </c>
      <c r="H11" s="2">
        <f>111+93+90+89+90+0+83</f>
        <v>556</v>
      </c>
      <c r="J11" s="10">
        <f t="shared" si="1"/>
        <v>52.952380952380956</v>
      </c>
      <c r="K11" s="10">
        <f t="shared" si="2"/>
        <v>3.0434782608695654</v>
      </c>
      <c r="L11" s="10">
        <f t="shared" si="3"/>
        <v>61.994609164420488</v>
      </c>
      <c r="N11" s="2" t="s">
        <v>21</v>
      </c>
      <c r="O11" s="11">
        <f t="shared" si="5"/>
        <v>44.779046056486585</v>
      </c>
      <c r="P11" s="12">
        <f t="shared" si="4"/>
        <v>98.513901324270492</v>
      </c>
      <c r="Q11" s="2">
        <f t="shared" si="0"/>
        <v>4</v>
      </c>
    </row>
    <row r="12" spans="2:17" x14ac:dyDescent="0.25">
      <c r="B12" s="2" t="s">
        <v>22</v>
      </c>
      <c r="C12" s="9">
        <v>101</v>
      </c>
      <c r="D12" s="9">
        <v>63</v>
      </c>
      <c r="E12" s="2">
        <v>3</v>
      </c>
      <c r="F12" s="2">
        <f>102+88+108</f>
        <v>298</v>
      </c>
      <c r="G12" s="2">
        <v>3</v>
      </c>
      <c r="H12" s="2">
        <f>102+88+108</f>
        <v>298</v>
      </c>
      <c r="J12" s="10">
        <f t="shared" si="1"/>
        <v>66.222222222222214</v>
      </c>
      <c r="K12" s="10">
        <f t="shared" si="2"/>
        <v>4.7619047619047619</v>
      </c>
      <c r="L12" s="10">
        <f t="shared" si="3"/>
        <v>62.376237623762378</v>
      </c>
      <c r="N12" s="2" t="s">
        <v>22</v>
      </c>
      <c r="O12" s="11">
        <f t="shared" si="5"/>
        <v>53.160961810466759</v>
      </c>
      <c r="P12" s="12">
        <f t="shared" si="4"/>
        <v>116.95411598302688</v>
      </c>
      <c r="Q12" s="2">
        <f t="shared" si="0"/>
        <v>2</v>
      </c>
    </row>
    <row r="13" spans="2:17" x14ac:dyDescent="0.25">
      <c r="C13" s="13">
        <f>SUM(C6:C12)</f>
        <v>646</v>
      </c>
      <c r="D13" s="13">
        <f t="shared" ref="D13:E13" si="6">SUM(D6:D12)</f>
        <v>409</v>
      </c>
      <c r="E13" s="13">
        <f t="shared" si="6"/>
        <v>24</v>
      </c>
      <c r="F13" s="1"/>
      <c r="G13" s="13">
        <f>SUM(G6:G12)</f>
        <v>14</v>
      </c>
      <c r="H13" s="1"/>
      <c r="Q13" s="1"/>
    </row>
    <row r="18" spans="1:8" x14ac:dyDescent="0.25">
      <c r="A18" s="26" t="s">
        <v>23</v>
      </c>
      <c r="B18" t="s">
        <v>24</v>
      </c>
      <c r="C18" t="s">
        <v>25</v>
      </c>
    </row>
    <row r="19" spans="1:8" x14ac:dyDescent="0.25">
      <c r="A19" s="26"/>
      <c r="B19" s="21" t="s">
        <v>32</v>
      </c>
      <c r="C19" s="27" t="s">
        <v>33</v>
      </c>
      <c r="D19" s="27"/>
      <c r="E19" s="27"/>
      <c r="F19" s="27"/>
      <c r="G19" s="27"/>
      <c r="H19" s="27"/>
    </row>
    <row r="20" spans="1:8" x14ac:dyDescent="0.25">
      <c r="A20" s="26"/>
      <c r="B20" s="21" t="s">
        <v>34</v>
      </c>
      <c r="C20" s="27" t="s">
        <v>35</v>
      </c>
      <c r="D20" s="27"/>
      <c r="E20" s="27"/>
      <c r="F20" s="27"/>
      <c r="G20" s="27"/>
      <c r="H20" s="27"/>
    </row>
    <row r="21" spans="1:8" x14ac:dyDescent="0.25">
      <c r="A21" s="1" t="s">
        <v>17</v>
      </c>
      <c r="B21" t="s">
        <v>24</v>
      </c>
      <c r="C21" t="s">
        <v>25</v>
      </c>
    </row>
    <row r="22" spans="1:8" x14ac:dyDescent="0.25">
      <c r="A22" s="1"/>
    </row>
    <row r="23" spans="1:8" x14ac:dyDescent="0.25">
      <c r="A23" s="26" t="s">
        <v>18</v>
      </c>
      <c r="B23" t="s">
        <v>24</v>
      </c>
      <c r="C23" t="s">
        <v>25</v>
      </c>
    </row>
    <row r="24" spans="1:8" x14ac:dyDescent="0.25">
      <c r="A24" s="26"/>
      <c r="B24" s="15" t="s">
        <v>36</v>
      </c>
      <c r="C24" s="27" t="s">
        <v>37</v>
      </c>
      <c r="D24" s="27"/>
      <c r="E24" s="27"/>
      <c r="F24" s="27"/>
      <c r="G24" s="27"/>
      <c r="H24" s="27"/>
    </row>
    <row r="25" spans="1:8" x14ac:dyDescent="0.25">
      <c r="A25" s="26"/>
      <c r="B25" s="15" t="s">
        <v>56</v>
      </c>
      <c r="C25" s="27" t="s">
        <v>57</v>
      </c>
      <c r="D25" s="27"/>
      <c r="E25" s="27"/>
      <c r="F25" s="27"/>
      <c r="G25" s="27"/>
      <c r="H25" s="27"/>
    </row>
    <row r="26" spans="1:8" x14ac:dyDescent="0.25">
      <c r="A26" s="1"/>
    </row>
    <row r="27" spans="1:8" x14ac:dyDescent="0.25">
      <c r="A27" s="26" t="s">
        <v>19</v>
      </c>
      <c r="B27" t="s">
        <v>24</v>
      </c>
      <c r="C27" t="s">
        <v>25</v>
      </c>
    </row>
    <row r="28" spans="1:8" x14ac:dyDescent="0.25">
      <c r="A28" s="26"/>
      <c r="B28" s="15" t="s">
        <v>46</v>
      </c>
      <c r="C28" s="27" t="s">
        <v>47</v>
      </c>
      <c r="D28" s="27"/>
      <c r="E28" s="27"/>
      <c r="F28" s="27"/>
      <c r="G28" s="27"/>
      <c r="H28" s="27"/>
    </row>
    <row r="29" spans="1:8" x14ac:dyDescent="0.25">
      <c r="A29" s="26"/>
      <c r="B29" s="15" t="s">
        <v>52</v>
      </c>
      <c r="C29" s="30" t="s">
        <v>53</v>
      </c>
      <c r="D29" s="31"/>
      <c r="E29" s="31"/>
      <c r="F29" s="31"/>
      <c r="G29" s="31"/>
      <c r="H29" s="32"/>
    </row>
    <row r="30" spans="1:8" x14ac:dyDescent="0.25">
      <c r="A30" s="1"/>
    </row>
    <row r="31" spans="1:8" x14ac:dyDescent="0.25">
      <c r="A31" s="2" t="s">
        <v>20</v>
      </c>
      <c r="B31" t="s">
        <v>24</v>
      </c>
      <c r="C31" t="s">
        <v>25</v>
      </c>
    </row>
    <row r="32" spans="1:8" x14ac:dyDescent="0.25">
      <c r="A32" s="1"/>
    </row>
    <row r="33" spans="1:10" x14ac:dyDescent="0.25">
      <c r="A33" s="28" t="s">
        <v>21</v>
      </c>
      <c r="B33" t="s">
        <v>24</v>
      </c>
      <c r="C33" t="s">
        <v>25</v>
      </c>
    </row>
    <row r="34" spans="1:10" x14ac:dyDescent="0.25">
      <c r="A34" s="29"/>
      <c r="B34" s="15" t="s">
        <v>26</v>
      </c>
      <c r="C34" s="27" t="s">
        <v>27</v>
      </c>
      <c r="D34" s="27"/>
      <c r="E34" s="27"/>
      <c r="F34" s="27"/>
      <c r="G34" s="27"/>
      <c r="H34" s="27"/>
    </row>
    <row r="35" spans="1:10" x14ac:dyDescent="0.25">
      <c r="A35" s="29"/>
      <c r="B35" s="16" t="s">
        <v>28</v>
      </c>
      <c r="C35" s="24" t="s">
        <v>29</v>
      </c>
      <c r="D35" s="24"/>
      <c r="E35" s="24"/>
      <c r="F35" s="24"/>
      <c r="G35" s="24"/>
      <c r="H35" s="24"/>
    </row>
    <row r="36" spans="1:10" ht="32.25" customHeight="1" x14ac:dyDescent="0.25">
      <c r="A36" s="29"/>
      <c r="B36" s="17" t="s">
        <v>30</v>
      </c>
      <c r="C36" s="25" t="s">
        <v>31</v>
      </c>
      <c r="D36" s="25"/>
      <c r="E36" s="25"/>
      <c r="F36" s="25"/>
      <c r="G36" s="25"/>
      <c r="H36" s="25"/>
      <c r="I36" s="25"/>
      <c r="J36" s="25"/>
    </row>
    <row r="37" spans="1:10" x14ac:dyDescent="0.25">
      <c r="A37" s="29"/>
      <c r="B37" s="15" t="s">
        <v>38</v>
      </c>
      <c r="C37" s="33" t="s">
        <v>39</v>
      </c>
      <c r="D37" s="33"/>
      <c r="E37" s="33"/>
      <c r="F37" s="33"/>
      <c r="G37" s="33"/>
      <c r="H37" s="33"/>
      <c r="I37" s="33"/>
      <c r="J37" s="33"/>
    </row>
    <row r="38" spans="1:10" x14ac:dyDescent="0.25">
      <c r="A38" s="29"/>
      <c r="B38" s="15" t="s">
        <v>40</v>
      </c>
      <c r="C38" s="35" t="s">
        <v>41</v>
      </c>
      <c r="D38" s="35"/>
      <c r="E38" s="35"/>
      <c r="F38" s="35"/>
      <c r="G38" s="35"/>
      <c r="H38" s="35"/>
      <c r="I38" s="14"/>
    </row>
    <row r="39" spans="1:10" x14ac:dyDescent="0.25">
      <c r="A39" s="29"/>
      <c r="B39" s="15" t="s">
        <v>44</v>
      </c>
      <c r="C39" s="34" t="s">
        <v>45</v>
      </c>
      <c r="D39" s="34"/>
      <c r="E39" s="34"/>
      <c r="F39" s="34"/>
      <c r="G39" s="34"/>
      <c r="H39" s="34"/>
    </row>
    <row r="40" spans="1:10" x14ac:dyDescent="0.25">
      <c r="A40" s="29"/>
      <c r="B40" s="18" t="s">
        <v>54</v>
      </c>
      <c r="C40" s="34" t="s">
        <v>55</v>
      </c>
      <c r="D40" s="34"/>
      <c r="E40" s="34"/>
      <c r="F40" s="34"/>
      <c r="G40" s="34"/>
      <c r="H40" s="34"/>
    </row>
    <row r="41" spans="1:10" x14ac:dyDescent="0.25">
      <c r="A41" s="1"/>
      <c r="B41" s="14"/>
      <c r="C41" s="19"/>
      <c r="D41" s="19"/>
      <c r="E41" s="19"/>
      <c r="F41" s="19"/>
      <c r="G41" s="19"/>
      <c r="H41" s="19"/>
    </row>
    <row r="42" spans="1:10" x14ac:dyDescent="0.25">
      <c r="A42" s="26" t="s">
        <v>22</v>
      </c>
      <c r="B42" t="s">
        <v>24</v>
      </c>
      <c r="C42" t="s">
        <v>25</v>
      </c>
    </row>
    <row r="43" spans="1:10" x14ac:dyDescent="0.25">
      <c r="A43" s="26"/>
      <c r="B43" s="20" t="s">
        <v>42</v>
      </c>
      <c r="C43" s="33" t="s">
        <v>43</v>
      </c>
      <c r="D43" s="33"/>
      <c r="E43" s="33"/>
      <c r="F43" s="33"/>
      <c r="G43" s="33"/>
    </row>
    <row r="44" spans="1:10" x14ac:dyDescent="0.25">
      <c r="A44" s="26"/>
      <c r="B44" s="21" t="s">
        <v>48</v>
      </c>
      <c r="C44" s="34" t="s">
        <v>49</v>
      </c>
      <c r="D44" s="34"/>
      <c r="E44" s="34"/>
      <c r="F44" s="34"/>
      <c r="G44" s="34"/>
    </row>
    <row r="45" spans="1:10" x14ac:dyDescent="0.25">
      <c r="A45" s="26"/>
      <c r="B45" s="21" t="s">
        <v>50</v>
      </c>
      <c r="C45" s="34" t="s">
        <v>51</v>
      </c>
      <c r="D45" s="34"/>
      <c r="E45" s="34"/>
      <c r="F45" s="34"/>
      <c r="G45" s="34"/>
    </row>
  </sheetData>
  <mergeCells count="23">
    <mergeCell ref="A42:A45"/>
    <mergeCell ref="A33:A40"/>
    <mergeCell ref="A27:A29"/>
    <mergeCell ref="A23:A25"/>
    <mergeCell ref="C29:H29"/>
    <mergeCell ref="C37:J37"/>
    <mergeCell ref="C39:H39"/>
    <mergeCell ref="C38:H38"/>
    <mergeCell ref="C40:H40"/>
    <mergeCell ref="C43:G43"/>
    <mergeCell ref="C44:G44"/>
    <mergeCell ref="C45:G45"/>
    <mergeCell ref="B2:H3"/>
    <mergeCell ref="J2:L2"/>
    <mergeCell ref="C35:H35"/>
    <mergeCell ref="C36:J36"/>
    <mergeCell ref="A18:A20"/>
    <mergeCell ref="C19:H19"/>
    <mergeCell ref="C20:H20"/>
    <mergeCell ref="C34:H34"/>
    <mergeCell ref="C28:H28"/>
    <mergeCell ref="C24:H24"/>
    <mergeCell ref="C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DYA-YDO - HETTIARACHCHI R.D.</dc:creator>
  <cp:lastModifiedBy>Gamith Ranasinghe</cp:lastModifiedBy>
  <dcterms:created xsi:type="dcterms:W3CDTF">2015-06-05T18:17:20Z</dcterms:created>
  <dcterms:modified xsi:type="dcterms:W3CDTF">2026-03-05T09:25:46Z</dcterms:modified>
</cp:coreProperties>
</file>