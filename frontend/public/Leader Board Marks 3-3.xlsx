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5105491\AppData\Local\Microsoft\Windows\INetCache\Content.Outlook\1WR1WMAH\"/>
    </mc:Choice>
  </mc:AlternateContent>
  <xr:revisionPtr revIDLastSave="0" documentId="13_ncr:1_{13D3050A-C3A5-4BD5-A7C7-C5C0AF07B2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D14" i="1"/>
  <c r="C14" i="1"/>
  <c r="B14" i="1"/>
  <c r="K13" i="1"/>
  <c r="J13" i="1"/>
  <c r="G13" i="1"/>
  <c r="I13" i="1" s="1"/>
  <c r="E13" i="1"/>
  <c r="K12" i="1"/>
  <c r="J12" i="1"/>
  <c r="G12" i="1"/>
  <c r="I12" i="1" s="1"/>
  <c r="E12" i="1"/>
  <c r="K11" i="1"/>
  <c r="J11" i="1"/>
  <c r="I11" i="1"/>
  <c r="K10" i="1"/>
  <c r="J10" i="1"/>
  <c r="G10" i="1"/>
  <c r="I10" i="1" s="1"/>
  <c r="K9" i="1"/>
  <c r="J9" i="1"/>
  <c r="G9" i="1"/>
  <c r="I9" i="1" s="1"/>
  <c r="E9" i="1"/>
  <c r="K8" i="1"/>
  <c r="J8" i="1"/>
  <c r="I8" i="1"/>
  <c r="K7" i="1"/>
  <c r="J7" i="1"/>
  <c r="G7" i="1"/>
  <c r="I7" i="1" s="1"/>
  <c r="E7" i="1"/>
  <c r="N12" i="1" l="1"/>
  <c r="O12" i="1" s="1"/>
  <c r="N13" i="1"/>
  <c r="O13" i="1" s="1"/>
  <c r="N7" i="1"/>
  <c r="O7" i="1" s="1"/>
  <c r="N8" i="1"/>
  <c r="O8" i="1" s="1"/>
  <c r="N9" i="1"/>
  <c r="N10" i="1"/>
  <c r="N11" i="1"/>
  <c r="O11" i="1" s="1"/>
  <c r="P10" i="1" l="1"/>
  <c r="P7" i="1"/>
  <c r="P8" i="1"/>
  <c r="O9" i="1"/>
  <c r="P9" i="1"/>
  <c r="P12" i="1"/>
  <c r="O10" i="1"/>
  <c r="P11" i="1"/>
  <c r="P13" i="1"/>
</calcChain>
</file>

<file path=xl/sharedStrings.xml><?xml version="1.0" encoding="utf-8"?>
<sst xmlns="http://schemas.openxmlformats.org/spreadsheetml/2006/main" count="85" uniqueCount="58">
  <si>
    <t>Leader Board Marks</t>
  </si>
  <si>
    <t>Weightage</t>
  </si>
  <si>
    <t>Leader Board Span=220cm</t>
  </si>
  <si>
    <t>Resolution =2.2cm</t>
  </si>
  <si>
    <t>Department/Devision</t>
  </si>
  <si>
    <t>No of Allocation</t>
  </si>
  <si>
    <t>No of Participants</t>
  </si>
  <si>
    <t>No of Submissions</t>
  </si>
  <si>
    <t>Total Marks of Submitted Projects</t>
  </si>
  <si>
    <t xml:space="preserve">No of Completed </t>
  </si>
  <si>
    <t>Total Marks of Completed Projects</t>
  </si>
  <si>
    <t>Completed Project Points (Average)</t>
  </si>
  <si>
    <t>Submission Ratio</t>
  </si>
  <si>
    <t>Participation Ratio</t>
  </si>
  <si>
    <t>Leader Board Mark in cm</t>
  </si>
  <si>
    <t xml:space="preserve">Rank </t>
  </si>
  <si>
    <t>DBU</t>
  </si>
  <si>
    <t>DFI</t>
  </si>
  <si>
    <t>DHA</t>
  </si>
  <si>
    <t>DMD</t>
  </si>
  <si>
    <t>DMP</t>
  </si>
  <si>
    <t>DPR</t>
  </si>
  <si>
    <t>DYA</t>
  </si>
  <si>
    <t xml:space="preserve">DBU </t>
  </si>
  <si>
    <t>Project No</t>
  </si>
  <si>
    <t>Project</t>
  </si>
  <si>
    <t>WB-047</t>
  </si>
  <si>
    <t>Develop a Vacuum Cleaner</t>
  </si>
  <si>
    <t>WB-048</t>
  </si>
  <si>
    <t>Develop a Divider</t>
  </si>
  <si>
    <t>WB-049</t>
  </si>
  <si>
    <t xml:space="preserve">Eliminated the need for additional third party crane rental by deploying an in-house 160 T capacity crane execute the assembly operations. </t>
  </si>
  <si>
    <t>WB-050</t>
  </si>
  <si>
    <t>Ordering Stationery Quarterly</t>
  </si>
  <si>
    <t>WB-051</t>
  </si>
  <si>
    <t>Reducing Paper Usage in Drydock Quotations Process</t>
  </si>
  <si>
    <t>WB-053</t>
  </si>
  <si>
    <t>Label System for identify the vehicle owners contact</t>
  </si>
  <si>
    <t>WB-054</t>
  </si>
  <si>
    <t>Create an excel file for standardize attendance of sub contracts</t>
  </si>
  <si>
    <t>WB-055</t>
  </si>
  <si>
    <t>Build vacuum testing boxes</t>
  </si>
  <si>
    <t>WB-057</t>
  </si>
  <si>
    <t>Kerosene Bath</t>
  </si>
  <si>
    <t>WB-058</t>
  </si>
  <si>
    <t xml:space="preserve">Bulb Holder for sandblasting </t>
  </si>
  <si>
    <t>WB-060</t>
  </si>
  <si>
    <t xml:space="preserve">Long Range Wireless Fire Alarm Indicator Receiver </t>
  </si>
  <si>
    <t>WB-061</t>
  </si>
  <si>
    <t>Hydraulic Bench Press - 10 T</t>
  </si>
  <si>
    <t>WB-062</t>
  </si>
  <si>
    <t>Reduce gas user end hole from 7mm to 1 mm</t>
  </si>
  <si>
    <t>WB-052</t>
  </si>
  <si>
    <t>Reusable Floor Protection Solution</t>
  </si>
  <si>
    <t>WB-056</t>
  </si>
  <si>
    <t>Unit testing before the unit construction</t>
  </si>
  <si>
    <t>WB-059</t>
  </si>
  <si>
    <t xml:space="preserve">Reduce Water battle consumption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</si>
</sst>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2" fillId="6" borderId="7" xfId="0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vertical="center"/>
    </xf>
    <xf numFmtId="0" fontId="2" fillId="11" borderId="7" xfId="0" applyFont="1" applyFill="1" applyBorder="1" applyAlignment="1">
      <alignment vertical="center"/>
    </xf>
    <xf numFmtId="0" fontId="2" fillId="12" borderId="7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/>
    <xf numFmtId="0" fontId="2" fillId="5" borderId="12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4" fontId="0" fillId="0" borderId="9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4" fontId="0" fillId="0" borderId="12" xfId="0" applyNumberFormat="1" applyBorder="1" applyAlignment="1">
      <alignment horizontal="center"/>
    </xf>
    <xf numFmtId="4" fontId="0" fillId="0" borderId="1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4" fontId="0" fillId="4" borderId="12" xfId="0" applyNumberForma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9" borderId="6" xfId="0" applyFill="1" applyBorder="1" applyAlignment="1">
      <alignment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1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2" fillId="8" borderId="28" xfId="0" applyFont="1" applyFill="1" applyBorder="1" applyAlignment="1">
      <alignment horizontal="center" vertical="center"/>
    </xf>
    <xf numFmtId="0" fontId="2" fillId="9" borderId="32" xfId="0" applyFont="1" applyFill="1" applyBorder="1" applyAlignment="1">
      <alignment horizontal="center" vertical="center"/>
    </xf>
    <xf numFmtId="0" fontId="2" fillId="9" borderId="27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0" fontId="2" fillId="11" borderId="21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2" fillId="10" borderId="34" xfId="0" applyFont="1" applyFill="1" applyBorder="1" applyAlignment="1">
      <alignment horizontal="center" vertical="center"/>
    </xf>
    <xf numFmtId="0" fontId="2" fillId="10" borderId="35" xfId="0" applyFont="1" applyFill="1" applyBorder="1" applyAlignment="1">
      <alignment horizontal="center" vertical="center"/>
    </xf>
    <xf numFmtId="0" fontId="2" fillId="10" borderId="36" xfId="0" applyFont="1" applyFill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/>
    </xf>
    <xf numFmtId="0" fontId="2" fillId="11" borderId="27" xfId="0" applyFont="1" applyFill="1" applyBorder="1" applyAlignment="1">
      <alignment horizontal="center" vertical="center"/>
    </xf>
    <xf numFmtId="0" fontId="2" fillId="11" borderId="28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2" fillId="12" borderId="32" xfId="0" applyFont="1" applyFill="1" applyBorder="1" applyAlignment="1">
      <alignment horizontal="center" vertical="center"/>
    </xf>
    <xf numFmtId="0" fontId="2" fillId="12" borderId="27" xfId="0" applyFont="1" applyFill="1" applyBorder="1" applyAlignment="1">
      <alignment horizontal="center" vertical="center"/>
    </xf>
    <xf numFmtId="0" fontId="2" fillId="12" borderId="28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N40" sqref="N40"/>
    </sheetView>
  </sheetViews>
  <sheetFormatPr defaultRowHeight="15" x14ac:dyDescent="0.25"/>
  <cols>
    <col min="1" max="1" width="13.85546875" customWidth="1"/>
    <col min="2" max="2" width="13" customWidth="1"/>
    <col min="3" max="3" width="13.5703125" customWidth="1"/>
    <col min="4" max="4" width="13.7109375" customWidth="1"/>
    <col min="5" max="5" width="12.42578125" customWidth="1"/>
    <col min="6" max="6" width="10.85546875" customWidth="1"/>
    <col min="7" max="7" width="15.28515625" customWidth="1"/>
    <col min="8" max="8" width="2.85546875" customWidth="1"/>
    <col min="9" max="9" width="12.42578125" customWidth="1"/>
    <col min="10" max="10" width="11.7109375" customWidth="1"/>
    <col min="11" max="11" width="12.140625" customWidth="1"/>
    <col min="12" max="12" width="3.28515625" customWidth="1"/>
    <col min="13" max="13" width="14.5703125" customWidth="1"/>
    <col min="14" max="14" width="11.85546875" customWidth="1"/>
    <col min="15" max="15" width="14" customWidth="1"/>
    <col min="16" max="16" width="10.85546875" customWidth="1"/>
  </cols>
  <sheetData>
    <row r="1" spans="1:17" ht="25.5" customHeight="1" x14ac:dyDescent="0.25">
      <c r="A1" s="53">
        <v>46084</v>
      </c>
      <c r="B1" s="54"/>
      <c r="C1" s="54"/>
      <c r="D1" s="54"/>
      <c r="E1" s="54"/>
      <c r="F1" s="54"/>
      <c r="G1" s="54"/>
    </row>
    <row r="2" spans="1:17" ht="15.75" thickBot="1" x14ac:dyDescent="0.3">
      <c r="D2" s="1"/>
      <c r="E2" s="1"/>
      <c r="F2" s="1"/>
      <c r="G2" s="1"/>
      <c r="H2" s="1"/>
      <c r="Q2" s="1"/>
    </row>
    <row r="3" spans="1:17" ht="15" customHeight="1" x14ac:dyDescent="0.25">
      <c r="A3" s="55" t="s">
        <v>0</v>
      </c>
      <c r="B3" s="56"/>
      <c r="C3" s="56"/>
      <c r="D3" s="56"/>
      <c r="E3" s="56"/>
      <c r="F3" s="56"/>
      <c r="G3" s="57"/>
      <c r="I3" s="42" t="s">
        <v>1</v>
      </c>
      <c r="J3" s="43"/>
      <c r="K3" s="44"/>
      <c r="O3" t="s">
        <v>2</v>
      </c>
      <c r="P3" s="1"/>
    </row>
    <row r="4" spans="1:17" ht="15.75" customHeight="1" thickBot="1" x14ac:dyDescent="0.3">
      <c r="A4" s="58"/>
      <c r="B4" s="59"/>
      <c r="C4" s="59"/>
      <c r="D4" s="59"/>
      <c r="E4" s="59"/>
      <c r="F4" s="59"/>
      <c r="G4" s="60"/>
      <c r="I4" s="37">
        <v>60</v>
      </c>
      <c r="J4" s="41">
        <v>20</v>
      </c>
      <c r="K4" s="40">
        <v>20</v>
      </c>
      <c r="O4" t="s">
        <v>3</v>
      </c>
      <c r="P4" s="1"/>
    </row>
    <row r="5" spans="1:17" ht="15.75" thickBot="1" x14ac:dyDescent="0.3">
      <c r="C5" s="1"/>
      <c r="D5" s="1"/>
      <c r="E5" s="1"/>
      <c r="F5" s="1"/>
      <c r="G5" s="1"/>
      <c r="P5" s="1"/>
    </row>
    <row r="6" spans="1:17" ht="60" x14ac:dyDescent="0.25">
      <c r="A6" s="45" t="s">
        <v>4</v>
      </c>
      <c r="B6" s="46" t="s">
        <v>5</v>
      </c>
      <c r="C6" s="46" t="s">
        <v>6</v>
      </c>
      <c r="D6" s="46" t="s">
        <v>7</v>
      </c>
      <c r="E6" s="46" t="s">
        <v>8</v>
      </c>
      <c r="F6" s="46" t="s">
        <v>9</v>
      </c>
      <c r="G6" s="49" t="s">
        <v>10</v>
      </c>
      <c r="H6" s="3"/>
      <c r="I6" s="48" t="s">
        <v>11</v>
      </c>
      <c r="J6" s="46" t="s">
        <v>12</v>
      </c>
      <c r="K6" s="49" t="s">
        <v>13</v>
      </c>
      <c r="M6" s="45" t="s">
        <v>4</v>
      </c>
      <c r="N6" s="46" t="s">
        <v>0</v>
      </c>
      <c r="O6" s="46" t="s">
        <v>14</v>
      </c>
      <c r="P6" s="47" t="s">
        <v>15</v>
      </c>
    </row>
    <row r="7" spans="1:17" x14ac:dyDescent="0.25">
      <c r="A7" s="26" t="s">
        <v>16</v>
      </c>
      <c r="B7" s="4">
        <v>56</v>
      </c>
      <c r="C7" s="4">
        <v>45</v>
      </c>
      <c r="D7" s="2">
        <v>2</v>
      </c>
      <c r="E7" s="2">
        <f>63+70</f>
        <v>133</v>
      </c>
      <c r="F7" s="2">
        <v>2</v>
      </c>
      <c r="G7" s="27">
        <f>63+70</f>
        <v>133</v>
      </c>
      <c r="H7" s="1"/>
      <c r="I7" s="32">
        <f>IFERROR(G7/F7*100/150,0)</f>
        <v>44.333333333333336</v>
      </c>
      <c r="J7" s="5">
        <f>IFERROR(D7/C7*100,0)</f>
        <v>4.4444444444444446</v>
      </c>
      <c r="K7" s="33">
        <f>IFERROR(C7/B7*100,0)</f>
        <v>80.357142857142861</v>
      </c>
      <c r="M7" s="26" t="s">
        <v>16</v>
      </c>
      <c r="N7" s="6">
        <f t="shared" ref="N7:N13" si="0">(I7*$I$4+J7*$J$4+K7*$K$4)/(SUM($I$4:$K$4))</f>
        <v>43.560317460317457</v>
      </c>
      <c r="O7" s="7">
        <f>N7*2.2</f>
        <v>95.832698412698406</v>
      </c>
      <c r="P7" s="27">
        <f t="shared" ref="P7:P13" si="1">RANK(N7,N$7:N$13)</f>
        <v>5</v>
      </c>
    </row>
    <row r="8" spans="1:17" x14ac:dyDescent="0.25">
      <c r="A8" s="26" t="s">
        <v>17</v>
      </c>
      <c r="B8" s="4">
        <v>9</v>
      </c>
      <c r="C8" s="4">
        <v>4</v>
      </c>
      <c r="D8" s="2">
        <v>0</v>
      </c>
      <c r="E8" s="2">
        <v>0</v>
      </c>
      <c r="F8" s="2">
        <v>0</v>
      </c>
      <c r="G8" s="27">
        <v>0</v>
      </c>
      <c r="H8" s="1"/>
      <c r="I8" s="32">
        <f t="shared" ref="I8:I13" si="2">IFERROR(G8/F8*100/150,0)</f>
        <v>0</v>
      </c>
      <c r="J8" s="5">
        <f t="shared" ref="J8:J13" si="3">IFERROR(D8/C8*100,0)</f>
        <v>0</v>
      </c>
      <c r="K8" s="33">
        <f t="shared" ref="K8:K13" si="4">IFERROR(C8/B8*100,0)</f>
        <v>44.444444444444443</v>
      </c>
      <c r="M8" s="26" t="s">
        <v>17</v>
      </c>
      <c r="N8" s="6">
        <f t="shared" si="0"/>
        <v>8.8888888888888893</v>
      </c>
      <c r="O8" s="7">
        <f t="shared" ref="O8:O13" si="5">N8*2.2</f>
        <v>19.555555555555557</v>
      </c>
      <c r="P8" s="27">
        <f t="shared" si="1"/>
        <v>7</v>
      </c>
    </row>
    <row r="9" spans="1:17" x14ac:dyDescent="0.25">
      <c r="A9" s="26" t="s">
        <v>18</v>
      </c>
      <c r="B9" s="4">
        <v>78</v>
      </c>
      <c r="C9" s="4">
        <v>33</v>
      </c>
      <c r="D9" s="2">
        <v>2</v>
      </c>
      <c r="E9" s="2">
        <f>107+75</f>
        <v>182</v>
      </c>
      <c r="F9" s="2">
        <v>1</v>
      </c>
      <c r="G9" s="27">
        <f>107</f>
        <v>107</v>
      </c>
      <c r="I9" s="32">
        <f t="shared" si="2"/>
        <v>71.333333333333329</v>
      </c>
      <c r="J9" s="5">
        <f t="shared" si="3"/>
        <v>6.0606060606060606</v>
      </c>
      <c r="K9" s="33">
        <f t="shared" si="4"/>
        <v>42.307692307692307</v>
      </c>
      <c r="M9" s="26" t="s">
        <v>18</v>
      </c>
      <c r="N9" s="6">
        <f t="shared" si="0"/>
        <v>52.473659673659675</v>
      </c>
      <c r="O9" s="7">
        <f t="shared" si="5"/>
        <v>115.4420512820513</v>
      </c>
      <c r="P9" s="27">
        <f t="shared" si="1"/>
        <v>2</v>
      </c>
    </row>
    <row r="10" spans="1:17" x14ac:dyDescent="0.25">
      <c r="A10" s="26" t="s">
        <v>19</v>
      </c>
      <c r="B10" s="4">
        <v>77</v>
      </c>
      <c r="C10" s="4">
        <v>57</v>
      </c>
      <c r="D10" s="2">
        <v>2</v>
      </c>
      <c r="E10" s="2">
        <v>110</v>
      </c>
      <c r="F10" s="2">
        <v>1</v>
      </c>
      <c r="G10" s="27">
        <f>110</f>
        <v>110</v>
      </c>
      <c r="I10" s="32">
        <f t="shared" si="2"/>
        <v>73.333333333333329</v>
      </c>
      <c r="J10" s="5">
        <f t="shared" si="3"/>
        <v>3.5087719298245612</v>
      </c>
      <c r="K10" s="33">
        <f t="shared" si="4"/>
        <v>74.025974025974023</v>
      </c>
      <c r="M10" s="26" t="s">
        <v>19</v>
      </c>
      <c r="N10" s="6">
        <f t="shared" si="0"/>
        <v>59.50694919115972</v>
      </c>
      <c r="O10" s="7">
        <f t="shared" si="5"/>
        <v>130.91528822055139</v>
      </c>
      <c r="P10" s="27">
        <f t="shared" si="1"/>
        <v>1</v>
      </c>
    </row>
    <row r="11" spans="1:17" x14ac:dyDescent="0.25">
      <c r="A11" s="26" t="s">
        <v>20</v>
      </c>
      <c r="B11" s="4">
        <v>24</v>
      </c>
      <c r="C11" s="4">
        <v>21</v>
      </c>
      <c r="D11" s="2">
        <v>0</v>
      </c>
      <c r="E11" s="2">
        <v>0</v>
      </c>
      <c r="F11" s="2">
        <v>0</v>
      </c>
      <c r="G11" s="27">
        <v>0</v>
      </c>
      <c r="I11" s="32">
        <f t="shared" si="2"/>
        <v>0</v>
      </c>
      <c r="J11" s="5">
        <f t="shared" si="3"/>
        <v>0</v>
      </c>
      <c r="K11" s="33">
        <f t="shared" si="4"/>
        <v>87.5</v>
      </c>
      <c r="M11" s="26" t="s">
        <v>20</v>
      </c>
      <c r="N11" s="6">
        <f t="shared" si="0"/>
        <v>17.5</v>
      </c>
      <c r="O11" s="7">
        <f t="shared" si="5"/>
        <v>38.5</v>
      </c>
      <c r="P11" s="27">
        <f t="shared" si="1"/>
        <v>6</v>
      </c>
    </row>
    <row r="12" spans="1:17" x14ac:dyDescent="0.25">
      <c r="A12" s="26" t="s">
        <v>21</v>
      </c>
      <c r="B12" s="4">
        <v>490</v>
      </c>
      <c r="C12" s="4">
        <v>304</v>
      </c>
      <c r="D12" s="2">
        <v>7</v>
      </c>
      <c r="E12" s="2">
        <f>111+93+90+89+90+0+83</f>
        <v>556</v>
      </c>
      <c r="F12" s="2">
        <v>7</v>
      </c>
      <c r="G12" s="27">
        <f>111+93+90+89+90+0+83</f>
        <v>556</v>
      </c>
      <c r="I12" s="32">
        <f t="shared" si="2"/>
        <v>52.952380952380956</v>
      </c>
      <c r="J12" s="5">
        <f t="shared" si="3"/>
        <v>2.3026315789473681</v>
      </c>
      <c r="K12" s="33">
        <f t="shared" si="4"/>
        <v>62.04081632653061</v>
      </c>
      <c r="M12" s="26" t="s">
        <v>21</v>
      </c>
      <c r="N12" s="6">
        <f t="shared" si="0"/>
        <v>44.640118152524174</v>
      </c>
      <c r="O12" s="7">
        <f t="shared" si="5"/>
        <v>98.208259935553187</v>
      </c>
      <c r="P12" s="27">
        <f t="shared" si="1"/>
        <v>4</v>
      </c>
    </row>
    <row r="13" spans="1:17" ht="15.75" thickBot="1" x14ac:dyDescent="0.3">
      <c r="A13" s="26" t="s">
        <v>22</v>
      </c>
      <c r="B13" s="4">
        <v>191</v>
      </c>
      <c r="C13" s="4">
        <v>106</v>
      </c>
      <c r="D13" s="2">
        <v>3</v>
      </c>
      <c r="E13" s="2">
        <f>102+88+108</f>
        <v>298</v>
      </c>
      <c r="F13" s="2">
        <v>3</v>
      </c>
      <c r="G13" s="27">
        <f>102+88+108</f>
        <v>298</v>
      </c>
      <c r="I13" s="34">
        <f t="shared" si="2"/>
        <v>66.222222222222214</v>
      </c>
      <c r="J13" s="35">
        <f t="shared" si="3"/>
        <v>2.8301886792452833</v>
      </c>
      <c r="K13" s="36">
        <f t="shared" si="4"/>
        <v>55.497382198952884</v>
      </c>
      <c r="M13" s="37" t="s">
        <v>22</v>
      </c>
      <c r="N13" s="38">
        <f t="shared" si="0"/>
        <v>51.39884750897297</v>
      </c>
      <c r="O13" s="39">
        <f t="shared" si="5"/>
        <v>113.07746451974054</v>
      </c>
      <c r="P13" s="40">
        <f t="shared" si="1"/>
        <v>3</v>
      </c>
    </row>
    <row r="14" spans="1:17" ht="15.75" thickBot="1" x14ac:dyDescent="0.3">
      <c r="A14" s="28"/>
      <c r="B14" s="29">
        <f>SUM(B7:B13)</f>
        <v>925</v>
      </c>
      <c r="C14" s="29">
        <f t="shared" ref="C14:D14" si="6">SUM(C7:C13)</f>
        <v>570</v>
      </c>
      <c r="D14" s="29">
        <f t="shared" si="6"/>
        <v>16</v>
      </c>
      <c r="E14" s="30"/>
      <c r="F14" s="29">
        <f>SUM(F7:F13)</f>
        <v>14</v>
      </c>
      <c r="G14" s="31"/>
      <c r="P14" s="1"/>
    </row>
    <row r="15" spans="1:17" ht="15.75" thickBot="1" x14ac:dyDescent="0.3"/>
    <row r="16" spans="1:17" ht="19.5" customHeight="1" x14ac:dyDescent="0.25">
      <c r="A16" s="71" t="s">
        <v>23</v>
      </c>
      <c r="B16" s="15" t="s">
        <v>24</v>
      </c>
      <c r="C16" s="61" t="s">
        <v>25</v>
      </c>
      <c r="D16" s="62"/>
      <c r="E16" s="62"/>
      <c r="F16" s="62"/>
      <c r="G16" s="63"/>
    </row>
    <row r="17" spans="1:8" x14ac:dyDescent="0.25">
      <c r="A17" s="72"/>
      <c r="B17" s="9" t="s">
        <v>32</v>
      </c>
      <c r="C17" s="64" t="s">
        <v>33</v>
      </c>
      <c r="D17" s="65"/>
      <c r="E17" s="65"/>
      <c r="F17" s="65"/>
      <c r="G17" s="66"/>
    </row>
    <row r="18" spans="1:8" ht="15.75" thickBot="1" x14ac:dyDescent="0.3">
      <c r="A18" s="73"/>
      <c r="B18" s="16" t="s">
        <v>34</v>
      </c>
      <c r="C18" s="67" t="s">
        <v>35</v>
      </c>
      <c r="D18" s="68"/>
      <c r="E18" s="68"/>
      <c r="F18" s="68"/>
      <c r="G18" s="69"/>
    </row>
    <row r="19" spans="1:8" ht="15.75" thickBot="1" x14ac:dyDescent="0.3">
      <c r="A19" s="74"/>
      <c r="B19" s="74"/>
      <c r="C19" s="74"/>
      <c r="D19" s="74"/>
      <c r="E19" s="74"/>
      <c r="F19" s="74"/>
      <c r="G19" s="74"/>
      <c r="H19" s="74"/>
    </row>
    <row r="20" spans="1:8" ht="20.25" customHeight="1" thickBot="1" x14ac:dyDescent="0.3">
      <c r="A20" s="17" t="s">
        <v>17</v>
      </c>
      <c r="B20" s="18" t="s">
        <v>24</v>
      </c>
      <c r="C20" s="75" t="s">
        <v>25</v>
      </c>
      <c r="D20" s="76"/>
      <c r="E20" s="76"/>
      <c r="F20" s="76"/>
      <c r="G20" s="77"/>
    </row>
    <row r="21" spans="1:8" ht="15.75" thickBot="1" x14ac:dyDescent="0.3">
      <c r="A21" s="70"/>
      <c r="B21" s="70"/>
      <c r="C21" s="70"/>
      <c r="D21" s="70"/>
      <c r="E21" s="70"/>
      <c r="F21" s="70"/>
      <c r="G21" s="70"/>
      <c r="H21" s="70"/>
    </row>
    <row r="22" spans="1:8" ht="19.5" customHeight="1" x14ac:dyDescent="0.25">
      <c r="A22" s="93" t="s">
        <v>18</v>
      </c>
      <c r="B22" s="19" t="s">
        <v>24</v>
      </c>
      <c r="C22" s="78" t="s">
        <v>25</v>
      </c>
      <c r="D22" s="79"/>
      <c r="E22" s="79"/>
      <c r="F22" s="79"/>
      <c r="G22" s="80"/>
    </row>
    <row r="23" spans="1:8" x14ac:dyDescent="0.25">
      <c r="A23" s="94"/>
      <c r="B23" s="9" t="s">
        <v>36</v>
      </c>
      <c r="C23" s="64" t="s">
        <v>37</v>
      </c>
      <c r="D23" s="65"/>
      <c r="E23" s="65"/>
      <c r="F23" s="65"/>
      <c r="G23" s="66"/>
    </row>
    <row r="24" spans="1:8" ht="15.75" thickBot="1" x14ac:dyDescent="0.3">
      <c r="A24" s="95"/>
      <c r="B24" s="16" t="s">
        <v>56</v>
      </c>
      <c r="C24" s="67" t="s">
        <v>57</v>
      </c>
      <c r="D24" s="68"/>
      <c r="E24" s="68"/>
      <c r="F24" s="68"/>
      <c r="G24" s="69"/>
    </row>
    <row r="25" spans="1:8" ht="15.75" thickBot="1" x14ac:dyDescent="0.3">
      <c r="A25" s="70"/>
      <c r="B25" s="70"/>
      <c r="C25" s="70"/>
      <c r="D25" s="70"/>
      <c r="E25" s="70"/>
      <c r="F25" s="70"/>
      <c r="G25" s="70"/>
      <c r="H25" s="70"/>
    </row>
    <row r="26" spans="1:8" ht="18.75" customHeight="1" x14ac:dyDescent="0.25">
      <c r="A26" s="90" t="s">
        <v>19</v>
      </c>
      <c r="B26" s="20" t="s">
        <v>24</v>
      </c>
      <c r="C26" s="81" t="s">
        <v>25</v>
      </c>
      <c r="D26" s="82"/>
      <c r="E26" s="82"/>
      <c r="F26" s="82"/>
      <c r="G26" s="83"/>
    </row>
    <row r="27" spans="1:8" x14ac:dyDescent="0.25">
      <c r="A27" s="91"/>
      <c r="B27" s="9" t="s">
        <v>46</v>
      </c>
      <c r="C27" s="64" t="s">
        <v>47</v>
      </c>
      <c r="D27" s="65"/>
      <c r="E27" s="65"/>
      <c r="F27" s="65"/>
      <c r="G27" s="66"/>
    </row>
    <row r="28" spans="1:8" ht="15.75" thickBot="1" x14ac:dyDescent="0.3">
      <c r="A28" s="92"/>
      <c r="B28" s="16" t="s">
        <v>52</v>
      </c>
      <c r="C28" s="67" t="s">
        <v>53</v>
      </c>
      <c r="D28" s="68"/>
      <c r="E28" s="68"/>
      <c r="F28" s="68"/>
      <c r="G28" s="69"/>
    </row>
    <row r="29" spans="1:8" ht="15.75" thickBot="1" x14ac:dyDescent="0.3">
      <c r="A29" s="70"/>
      <c r="B29" s="70"/>
      <c r="C29" s="70"/>
      <c r="D29" s="70"/>
      <c r="E29" s="70"/>
      <c r="F29" s="70"/>
      <c r="G29" s="70"/>
      <c r="H29" s="70"/>
    </row>
    <row r="30" spans="1:8" ht="22.5" customHeight="1" thickBot="1" x14ac:dyDescent="0.3">
      <c r="A30" s="21" t="s">
        <v>20</v>
      </c>
      <c r="B30" s="22" t="s">
        <v>24</v>
      </c>
      <c r="C30" s="99" t="s">
        <v>25</v>
      </c>
      <c r="D30" s="100"/>
      <c r="E30" s="100"/>
      <c r="F30" s="100"/>
      <c r="G30" s="101"/>
    </row>
    <row r="31" spans="1:8" ht="15.75" thickBot="1" x14ac:dyDescent="0.3">
      <c r="A31" s="70"/>
      <c r="B31" s="70"/>
      <c r="C31" s="70"/>
      <c r="D31" s="70"/>
      <c r="E31" s="70"/>
      <c r="F31" s="70"/>
      <c r="G31" s="70"/>
      <c r="H31" s="70"/>
    </row>
    <row r="32" spans="1:8" ht="25.5" customHeight="1" x14ac:dyDescent="0.25">
      <c r="A32" s="87" t="s">
        <v>21</v>
      </c>
      <c r="B32" s="23" t="s">
        <v>24</v>
      </c>
      <c r="C32" s="102" t="s">
        <v>25</v>
      </c>
      <c r="D32" s="103"/>
      <c r="E32" s="103"/>
      <c r="F32" s="103"/>
      <c r="G32" s="104"/>
    </row>
    <row r="33" spans="1:9" x14ac:dyDescent="0.25">
      <c r="A33" s="88"/>
      <c r="B33" s="9" t="s">
        <v>26</v>
      </c>
      <c r="C33" s="64" t="s">
        <v>27</v>
      </c>
      <c r="D33" s="65"/>
      <c r="E33" s="65"/>
      <c r="F33" s="65"/>
      <c r="G33" s="66"/>
    </row>
    <row r="34" spans="1:9" x14ac:dyDescent="0.25">
      <c r="A34" s="88"/>
      <c r="B34" s="10" t="s">
        <v>28</v>
      </c>
      <c r="C34" s="64" t="s">
        <v>29</v>
      </c>
      <c r="D34" s="65"/>
      <c r="E34" s="65"/>
      <c r="F34" s="65"/>
      <c r="G34" s="66"/>
    </row>
    <row r="35" spans="1:9" ht="58.5" customHeight="1" x14ac:dyDescent="0.25">
      <c r="A35" s="88"/>
      <c r="B35" s="13" t="s">
        <v>30</v>
      </c>
      <c r="C35" s="50" t="s">
        <v>31</v>
      </c>
      <c r="D35" s="51"/>
      <c r="E35" s="51"/>
      <c r="F35" s="51"/>
      <c r="G35" s="52"/>
      <c r="H35" s="14"/>
      <c r="I35" s="14"/>
    </row>
    <row r="36" spans="1:9" ht="29.25" customHeight="1" x14ac:dyDescent="0.25">
      <c r="A36" s="88"/>
      <c r="B36" s="9" t="s">
        <v>38</v>
      </c>
      <c r="C36" s="50" t="s">
        <v>39</v>
      </c>
      <c r="D36" s="51"/>
      <c r="E36" s="51"/>
      <c r="F36" s="51"/>
      <c r="G36" s="52"/>
    </row>
    <row r="37" spans="1:9" x14ac:dyDescent="0.25">
      <c r="A37" s="88"/>
      <c r="B37" s="9" t="s">
        <v>40</v>
      </c>
      <c r="C37" s="50" t="s">
        <v>41</v>
      </c>
      <c r="D37" s="51"/>
      <c r="E37" s="51"/>
      <c r="F37" s="51"/>
      <c r="G37" s="52"/>
      <c r="H37" s="8"/>
    </row>
    <row r="38" spans="1:9" x14ac:dyDescent="0.25">
      <c r="A38" s="88"/>
      <c r="B38" s="9" t="s">
        <v>44</v>
      </c>
      <c r="C38" s="50" t="s">
        <v>45</v>
      </c>
      <c r="D38" s="51"/>
      <c r="E38" s="51"/>
      <c r="F38" s="51"/>
      <c r="G38" s="52"/>
    </row>
    <row r="39" spans="1:9" ht="15.75" thickBot="1" x14ac:dyDescent="0.3">
      <c r="A39" s="89"/>
      <c r="B39" s="16" t="s">
        <v>54</v>
      </c>
      <c r="C39" s="105" t="s">
        <v>55</v>
      </c>
      <c r="D39" s="106"/>
      <c r="E39" s="106"/>
      <c r="F39" s="106"/>
      <c r="G39" s="107"/>
    </row>
    <row r="40" spans="1:9" ht="15.75" thickBot="1" x14ac:dyDescent="0.3">
      <c r="A40" s="70"/>
      <c r="B40" s="70"/>
      <c r="C40" s="70"/>
      <c r="D40" s="70"/>
      <c r="E40" s="70"/>
      <c r="F40" s="70"/>
      <c r="G40" s="70"/>
      <c r="H40" s="70"/>
    </row>
    <row r="41" spans="1:9" ht="20.25" customHeight="1" x14ac:dyDescent="0.25">
      <c r="A41" s="84" t="s">
        <v>22</v>
      </c>
      <c r="B41" s="24" t="s">
        <v>24</v>
      </c>
      <c r="C41" s="108" t="s">
        <v>25</v>
      </c>
      <c r="D41" s="109"/>
      <c r="E41" s="109"/>
      <c r="F41" s="109"/>
      <c r="G41" s="110"/>
    </row>
    <row r="42" spans="1:9" x14ac:dyDescent="0.25">
      <c r="A42" s="85"/>
      <c r="B42" s="11" t="s">
        <v>42</v>
      </c>
      <c r="C42" s="111" t="s">
        <v>43</v>
      </c>
      <c r="D42" s="112"/>
      <c r="E42" s="112"/>
      <c r="F42" s="112"/>
      <c r="G42" s="113"/>
    </row>
    <row r="43" spans="1:9" x14ac:dyDescent="0.25">
      <c r="A43" s="85"/>
      <c r="B43" s="12" t="s">
        <v>48</v>
      </c>
      <c r="C43" s="111" t="s">
        <v>49</v>
      </c>
      <c r="D43" s="112"/>
      <c r="E43" s="112"/>
      <c r="F43" s="112"/>
      <c r="G43" s="113"/>
    </row>
    <row r="44" spans="1:9" ht="15.75" thickBot="1" x14ac:dyDescent="0.3">
      <c r="A44" s="86"/>
      <c r="B44" s="25" t="s">
        <v>50</v>
      </c>
      <c r="C44" s="96" t="s">
        <v>51</v>
      </c>
      <c r="D44" s="97"/>
      <c r="E44" s="97"/>
      <c r="F44" s="97"/>
      <c r="G44" s="98"/>
    </row>
  </sheetData>
  <mergeCells count="36">
    <mergeCell ref="A41:A44"/>
    <mergeCell ref="A32:A39"/>
    <mergeCell ref="A26:A28"/>
    <mergeCell ref="A22:A24"/>
    <mergeCell ref="C44:G44"/>
    <mergeCell ref="C27:G27"/>
    <mergeCell ref="C28:G28"/>
    <mergeCell ref="C30:G30"/>
    <mergeCell ref="C32:G32"/>
    <mergeCell ref="C33:G33"/>
    <mergeCell ref="C34:G34"/>
    <mergeCell ref="C39:G39"/>
    <mergeCell ref="C41:G41"/>
    <mergeCell ref="C42:G42"/>
    <mergeCell ref="C43:G43"/>
    <mergeCell ref="C35:G35"/>
    <mergeCell ref="A40:H40"/>
    <mergeCell ref="A31:H31"/>
    <mergeCell ref="A16:A18"/>
    <mergeCell ref="A29:H29"/>
    <mergeCell ref="A25:H25"/>
    <mergeCell ref="A21:H21"/>
    <mergeCell ref="A19:H19"/>
    <mergeCell ref="C20:G20"/>
    <mergeCell ref="C22:G22"/>
    <mergeCell ref="C23:G23"/>
    <mergeCell ref="C24:G24"/>
    <mergeCell ref="C26:G26"/>
    <mergeCell ref="C36:G36"/>
    <mergeCell ref="C37:G37"/>
    <mergeCell ref="C38:G38"/>
    <mergeCell ref="A1:G1"/>
    <mergeCell ref="A3:G4"/>
    <mergeCell ref="C16:G16"/>
    <mergeCell ref="C17:G17"/>
    <mergeCell ref="C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DYA-YDO - HETTIARACHCHI R.D.</dc:creator>
  <cp:lastModifiedBy>DYA-TE(LMC&amp;DA) - Hettiarachchi R.D.</cp:lastModifiedBy>
  <dcterms:created xsi:type="dcterms:W3CDTF">2015-06-05T18:17:20Z</dcterms:created>
  <dcterms:modified xsi:type="dcterms:W3CDTF">2026-03-05T07:39:59Z</dcterms:modified>
</cp:coreProperties>
</file>